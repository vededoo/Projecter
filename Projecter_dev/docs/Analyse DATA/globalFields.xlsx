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durpel/Development/Projects/Projecter/docs/Analyse DATA/"/>
    </mc:Choice>
  </mc:AlternateContent>
  <xr:revisionPtr revIDLastSave="0" documentId="8_{D2C66966-46A4-4A45-8DAF-EA08F67A0C02}" xr6:coauthVersionLast="47" xr6:coauthVersionMax="47" xr10:uidLastSave="{00000000-0000-0000-0000-000000000000}"/>
  <bookViews>
    <workbookView xWindow="16500" yWindow="8600" windowWidth="26040" windowHeight="14680" xr2:uid="{15B7BB99-AB8C-A649-935C-678C69F393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1" i="1"/>
  <c r="D15" i="1"/>
  <c r="D14" i="1"/>
  <c r="D13" i="1"/>
  <c r="D12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<sst xmlns="http://schemas.openxmlformats.org/spreadsheetml/2006/main" count="47" uniqueCount="30">
  <si>
    <t>Docs PFM</t>
  </si>
  <si>
    <t>Date de première évoquation</t>
  </si>
  <si>
    <t>Mantis Date de soumission</t>
  </si>
  <si>
    <t>Mantis ID</t>
  </si>
  <si>
    <t>Mantis Rapporteur</t>
  </si>
  <si>
    <t>Mantis Affectation</t>
  </si>
  <si>
    <t>Type</t>
  </si>
  <si>
    <t>Phase</t>
  </si>
  <si>
    <t>Avancement de phase</t>
  </si>
  <si>
    <t>Mandat de projet</t>
  </si>
  <si>
    <t>PlanView Nom de l'élément</t>
  </si>
  <si>
    <t>PlanView ID</t>
  </si>
  <si>
    <t>PlanView Statut</t>
  </si>
  <si>
    <t>PlanView Commentaire</t>
  </si>
  <si>
    <t>Date first raised</t>
  </si>
  <si>
    <t>Mantis Submission date</t>
  </si>
  <si>
    <t>Mantis Reporter</t>
  </si>
  <si>
    <t>Mantis Assignment</t>
  </si>
  <si>
    <t>Phase progress</t>
  </si>
  <si>
    <t>PlanView Item name</t>
  </si>
  <si>
    <t>PlanView Comment</t>
  </si>
  <si>
    <t>x</t>
  </si>
  <si>
    <t>Stage</t>
  </si>
  <si>
    <t>PlanView Type</t>
  </si>
  <si>
    <t>Project mandate date</t>
  </si>
  <si>
    <t>Project mandate comment</t>
  </si>
  <si>
    <t>PlanView activity</t>
  </si>
  <si>
    <t>text</t>
  </si>
  <si>
    <t>date</t>
  </si>
  <si>
    <t>varchar(7)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</si>
</sst>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BE0C-67C5-254A-801D-456C25103855}">
  <dimension ref="A1:E16"/>
  <sheetViews>
    <sheetView tabSelected="1" workbookViewId="0">
      <selection activeCell="D2" sqref="D2:E16"/>
    </sheetView>
  </sheetViews>
  <sheetFormatPr baseColWidth="10" defaultRowHeight="16" x14ac:dyDescent="0.2"/>
  <cols>
    <col min="1" max="1" width="25.5" bestFit="1" customWidth="1"/>
    <col min="2" max="2" width="23.33203125" customWidth="1"/>
    <col min="4" max="4" width="22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14</v>
      </c>
      <c r="C2" t="s">
        <v>21</v>
      </c>
      <c r="D2" t="str">
        <f>LOWER(SUBSTITUTE(B2," ","_"))</f>
        <v>date_first_raised</v>
      </c>
      <c r="E2" t="s">
        <v>28</v>
      </c>
    </row>
    <row r="3" spans="1:5" x14ac:dyDescent="0.2">
      <c r="A3" t="s">
        <v>2</v>
      </c>
      <c r="B3" t="s">
        <v>15</v>
      </c>
      <c r="D3" t="str">
        <f t="shared" ref="D3:D15" si="0">LOWER(SUBSTITUTE(B3," ","_"))</f>
        <v>mantis_submission_date</v>
      </c>
      <c r="E3" t="s">
        <v>28</v>
      </c>
    </row>
    <row r="4" spans="1:5" x14ac:dyDescent="0.2">
      <c r="A4" t="s">
        <v>3</v>
      </c>
      <c r="B4" t="s">
        <v>3</v>
      </c>
      <c r="D4" t="str">
        <f t="shared" si="0"/>
        <v>mantis_id</v>
      </c>
      <c r="E4" t="s">
        <v>29</v>
      </c>
    </row>
    <row r="5" spans="1:5" x14ac:dyDescent="0.2">
      <c r="A5" t="s">
        <v>4</v>
      </c>
      <c r="B5" t="s">
        <v>16</v>
      </c>
      <c r="D5" t="str">
        <f t="shared" si="0"/>
        <v>mantis_reporter</v>
      </c>
      <c r="E5" t="s">
        <v>27</v>
      </c>
    </row>
    <row r="6" spans="1:5" x14ac:dyDescent="0.2">
      <c r="A6" t="s">
        <v>5</v>
      </c>
      <c r="B6" t="s">
        <v>17</v>
      </c>
      <c r="D6" t="str">
        <f t="shared" si="0"/>
        <v>mantis_assignment</v>
      </c>
      <c r="E6" t="s">
        <v>27</v>
      </c>
    </row>
    <row r="7" spans="1:5" x14ac:dyDescent="0.2">
      <c r="A7" t="s">
        <v>6</v>
      </c>
      <c r="B7" t="s">
        <v>22</v>
      </c>
      <c r="D7" t="str">
        <f t="shared" si="0"/>
        <v>stage</v>
      </c>
      <c r="E7" t="s">
        <v>27</v>
      </c>
    </row>
    <row r="8" spans="1:5" x14ac:dyDescent="0.2">
      <c r="A8" t="s">
        <v>7</v>
      </c>
      <c r="B8" t="s">
        <v>7</v>
      </c>
      <c r="D8" t="str">
        <f t="shared" si="0"/>
        <v>phase</v>
      </c>
      <c r="E8" t="s">
        <v>27</v>
      </c>
    </row>
    <row r="9" spans="1:5" x14ac:dyDescent="0.2">
      <c r="A9" t="s">
        <v>8</v>
      </c>
      <c r="B9" t="s">
        <v>18</v>
      </c>
      <c r="D9" t="str">
        <f t="shared" si="0"/>
        <v>phase_progress</v>
      </c>
      <c r="E9" t="s">
        <v>27</v>
      </c>
    </row>
    <row r="10" spans="1:5" x14ac:dyDescent="0.2">
      <c r="A10" t="s">
        <v>9</v>
      </c>
      <c r="B10" t="s">
        <v>24</v>
      </c>
      <c r="D10" t="str">
        <f t="shared" si="0"/>
        <v>project_mandate_date</v>
      </c>
      <c r="E10" t="s">
        <v>28</v>
      </c>
    </row>
    <row r="11" spans="1:5" x14ac:dyDescent="0.2">
      <c r="A11" t="s">
        <v>9</v>
      </c>
      <c r="B11" t="s">
        <v>25</v>
      </c>
      <c r="D11" t="str">
        <f t="shared" ref="D11" si="1">LOWER(SUBSTITUTE(B11," ","_"))</f>
        <v>project_mandate_comment</v>
      </c>
      <c r="E11" t="s">
        <v>27</v>
      </c>
    </row>
    <row r="12" spans="1:5" x14ac:dyDescent="0.2">
      <c r="A12" t="s">
        <v>10</v>
      </c>
      <c r="B12" t="s">
        <v>19</v>
      </c>
      <c r="D12" t="str">
        <f t="shared" si="0"/>
        <v>planview_item_name</v>
      </c>
      <c r="E12" t="s">
        <v>27</v>
      </c>
    </row>
    <row r="13" spans="1:5" x14ac:dyDescent="0.2">
      <c r="A13" t="s">
        <v>11</v>
      </c>
      <c r="B13" t="s">
        <v>11</v>
      </c>
      <c r="D13" t="str">
        <f t="shared" si="0"/>
        <v>planview_id</v>
      </c>
      <c r="E13" t="s">
        <v>27</v>
      </c>
    </row>
    <row r="14" spans="1:5" x14ac:dyDescent="0.2">
      <c r="A14" t="s">
        <v>12</v>
      </c>
      <c r="B14" t="s">
        <v>23</v>
      </c>
      <c r="D14" t="str">
        <f t="shared" si="0"/>
        <v>planview_type</v>
      </c>
      <c r="E14" t="s">
        <v>27</v>
      </c>
    </row>
    <row r="15" spans="1:5" x14ac:dyDescent="0.2">
      <c r="A15" t="s">
        <v>13</v>
      </c>
      <c r="B15" t="s">
        <v>20</v>
      </c>
      <c r="D15" t="str">
        <f t="shared" si="0"/>
        <v>planview_comment</v>
      </c>
      <c r="E15" t="s">
        <v>27</v>
      </c>
    </row>
    <row r="16" spans="1:5" x14ac:dyDescent="0.2">
      <c r="A16" t="s">
        <v>13</v>
      </c>
      <c r="B16" t="s">
        <v>26</v>
      </c>
      <c r="D16" t="str">
        <f t="shared" ref="D16" si="2">LOWER(SUBSTITUTE(B16," ","_"))</f>
        <v>planview_activity</v>
      </c>
      <c r="E16" t="s">
        <v>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ANDRÉ</dc:creator>
  <cp:lastModifiedBy>Olivia ANDRÉ</cp:lastModifiedBy>
  <dcterms:created xsi:type="dcterms:W3CDTF">2026-05-20T19:07:40Z</dcterms:created>
  <dcterms:modified xsi:type="dcterms:W3CDTF">2026-05-23T07:50:16Z</dcterms:modified>
</cp:coreProperties>
</file>